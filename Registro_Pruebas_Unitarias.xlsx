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oka/Documents/ReactPasteleria/ProyectoReactPasteleria/"/>
    </mc:Choice>
  </mc:AlternateContent>
  <xr:revisionPtr revIDLastSave="0" documentId="13_ncr:1_{3E30E3C3-310A-DF4D-8429-7D2DC17D8882}" xr6:coauthVersionLast="47" xr6:coauthVersionMax="47" xr10:uidLastSave="{00000000-0000-0000-0000-000000000000}"/>
  <bookViews>
    <workbookView xWindow="0" yWindow="800" windowWidth="34200" windowHeight="20000" activeTab="1" xr2:uid="{00000000-000D-0000-FFFF-FFFF00000000}"/>
  </bookViews>
  <sheets>
    <sheet name="Instrucciones" sheetId="1" r:id="rId1"/>
    <sheet name="Casos de Prueba" sheetId="2" r:id="rId2"/>
    <sheet name="Resumen" sheetId="3" r:id="rId3"/>
  </sheets>
  <definedNames>
    <definedName name="_xlnm._FilterDatabase" localSheetId="1" hidden="1">'Casos de Prueba'!$A$1:$L$201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C17" i="3"/>
  <c r="B17" i="3"/>
  <c r="D16" i="3"/>
  <c r="C16" i="3"/>
  <c r="B16" i="3"/>
  <c r="D15" i="3"/>
  <c r="C15" i="3"/>
  <c r="B15" i="3"/>
  <c r="B7" i="3"/>
  <c r="B6" i="3"/>
  <c r="B5" i="3"/>
  <c r="B4" i="3"/>
  <c r="B10" i="3" s="1"/>
  <c r="B3" i="3"/>
  <c r="B8" i="3" s="1"/>
  <c r="B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ID#AAACGquaIw4
Unknown Author    (2026-10-09 01:27:41)
Filas de ejemplo (2 a 4): bórrenlas o reemplácenlas por sus propios casos.</t>
        </r>
      </text>
    </comment>
  </commentList>
</comments>
</file>

<file path=xl/sharedStrings.xml><?xml version="1.0" encoding="utf-8"?>
<sst xmlns="http://schemas.openxmlformats.org/spreadsheetml/2006/main" count="154" uniqueCount="119">
  <si>
    <t>ID</t>
  </si>
  <si>
    <t>Módulo / Clase</t>
  </si>
  <si>
    <t>Función / Método</t>
  </si>
  <si>
    <t>Tipo de caso</t>
  </si>
  <si>
    <t>Descripción del caso</t>
  </si>
  <si>
    <t>Datos de entrada</t>
  </si>
  <si>
    <t>Resultado esperado</t>
  </si>
  <si>
    <t>Resultado obtenido</t>
  </si>
  <si>
    <t>Estado</t>
  </si>
  <si>
    <t>Responsable</t>
  </si>
  <si>
    <t>Fecha ejecución</t>
  </si>
  <si>
    <t>Observaciones</t>
  </si>
  <si>
    <t>PU-001</t>
  </si>
  <si>
    <t>Carrito</t>
  </si>
  <si>
    <t>agregarAlCarrito(codigo)</t>
  </si>
  <si>
    <t>Normal</t>
  </si>
  <si>
    <t>Agregar dos veces el mismo producto (TC001) deja una sola fila con cantidad 2</t>
  </si>
  <si>
    <t>codigo: 'TC001' (dos clicks en 'Agregar Torta')</t>
  </si>
  <si>
    <t>Una sola fila TC001 con cantidad 2 y totalUnidades = 2</t>
  </si>
  <si>
    <t>Se muestra 'Items: TC001x2' y 'Unidades: 2'</t>
  </si>
  <si>
    <t>Pasó</t>
  </si>
  <si>
    <t>Joaquin Fuenzalida</t>
  </si>
  <si>
    <t>PU-002</t>
  </si>
  <si>
    <t>agregarAlCarrito - persistencia (localStorage)</t>
  </si>
  <si>
    <t>El carrito se guarda en localStorage al agregar un producto</t>
  </si>
  <si>
    <t>codigo: 'TC001'</t>
  </si>
  <si>
    <t>localStorage['carrito'] contiene 1 item TC001 con cantidad 1</t>
  </si>
  <si>
    <t>carrito = [{ codigo: 'TC001', cantidad: 1 }]</t>
  </si>
  <si>
    <t>PU-003</t>
  </si>
  <si>
    <t>vaciarCarrito()</t>
  </si>
  <si>
    <t>Borde</t>
  </si>
  <si>
    <t>Vaciar el carrito deja el carrito y localStorage vacíos</t>
  </si>
  <si>
    <t>Agregar TC001 y luego click en 'Vaciar'</t>
  </si>
  <si>
    <t>Items vacío, Unidades 0 y localStorage = '[]'</t>
  </si>
  <si>
    <t>localStorage = '[]', Items vacío y Unidades 0</t>
  </si>
  <si>
    <t>vaciarCarrito escribe '[]' en localStorage en lugar de eliminar la clave.</t>
  </si>
  <si>
    <t>PU-004</t>
  </si>
  <si>
    <t>CardProducto</t>
  </si>
  <si>
    <t>agregarAlCarrito por click en 'Agregar al carro'</t>
  </si>
  <si>
    <t>carrito = [{ codigo: 'TC001', cantidad: 1 }]: se ejecuta fireEvent.click en 'Agregar al carro'</t>
  </si>
  <si>
    <t>productoMock TC001; click en botón 'Agregar al carro'</t>
  </si>
  <si>
    <t>localStorage['carrito'] contiene 1 item TC001</t>
  </si>
  <si>
    <t>carrito vacío ([]): no se realizó el click antes de verificar</t>
  </si>
  <si>
    <t>Paulo Riveros</t>
  </si>
  <si>
    <t>Se agregó el fireEvent.click en 'Agregar al carro' antes del assert (cardProducto.test.jsx).</t>
  </si>
  <si>
    <t>PU-005</t>
  </si>
  <si>
    <t>Navegación - Link 'Ver producto'</t>
  </si>
  <si>
    <t>El enlace 'Ver producto' navega a /producto/:codigo</t>
  </si>
  <si>
    <t>productoMock TC001; click en 'Ver producto'</t>
  </si>
  <si>
    <t>Se renderiza la página de detalle en /producto/TC001</t>
  </si>
  <si>
    <t>Se muestra 'Página de Detalle del Producto'</t>
  </si>
  <si>
    <t>PU-006</t>
  </si>
  <si>
    <t>Autenticación</t>
  </si>
  <si>
    <t>register(nuevoUsuario)</t>
  </si>
  <si>
    <t>Error</t>
  </si>
  <si>
    <t>No permite registrar un usuario con un correo ya existente</t>
  </si>
  <si>
    <t>usuario Ana con correo 'ana@correo.cl' ya registrado en localStorage</t>
  </si>
  <si>
    <t>register retorna success:false con mensaje 'El correo ya se encuentra registrado'</t>
  </si>
  <si>
    <t>Se muestra 'Resultado: El correo ya se encuentra registrado'</t>
  </si>
  <si>
    <t>PU-007</t>
  </si>
  <si>
    <t>ModalLogin</t>
  </si>
  <si>
    <t>Validación de campos vacíos en handleSubmit</t>
  </si>
  <si>
    <t>Enviar el formulario de login sin correo ni contraseña</t>
  </si>
  <si>
    <t>Modal login abierto; click en 'Ingresar' sin llenar campos</t>
  </si>
  <si>
    <t>Se muestra el mensaje 'debes ingresar tu correo y tu contraseña' y no se llama a login</t>
  </si>
  <si>
    <t>Se muestra 'debes ingresar tu correo y tu contraseña'</t>
  </si>
  <si>
    <t>PU-008</t>
  </si>
  <si>
    <t>Catalogo</t>
  </si>
  <si>
    <t>Filtrado por categoría (productosFiltrados)</t>
  </si>
  <si>
    <t>Al seleccionar 'Productos Sin Azúcar' solo se muestran los productos de esa categoría</t>
  </si>
  <si>
    <t>Click en 'Filtrar' con categoría 'Productos Sin Azúcar'</t>
  </si>
  <si>
    <t>Título 'Productos Sin Azúcar' y 3 tarjetas (PSA001, PSA002, PSA003)</t>
  </si>
  <si>
    <t>Título 'Productos Sin Azúcar' y 3 tarjetas de producto</t>
  </si>
  <si>
    <t>PU-009</t>
  </si>
  <si>
    <t>eliminarDelCarrito(codigo)</t>
  </si>
  <si>
    <t>Eliminar un producto lo quita del carrito (UI y localStorage)</t>
  </si>
  <si>
    <t>Agregar TC001 y luego click en 'Eliminar producto'</t>
  </si>
  <si>
    <t>Se muestra 'Items: vacío' y localStorage['carrito'] = []</t>
  </si>
  <si>
    <t>localStorage = [] y se muestra 'Items: vacío'</t>
  </si>
  <si>
    <t>PU-010</t>
  </si>
  <si>
    <t>recuperarPassword(correo)</t>
  </si>
  <si>
    <t>recuperarPassword devuelve la contraseña de un correo registrado</t>
  </si>
  <si>
    <t>Usuario en localStorage con correo 'ana@correo.cl' y password 'Doki21431.@'</t>
  </si>
  <si>
    <t>Se muestra 'Resultado: Doki21431.@'</t>
  </si>
  <si>
    <t>Se muestra la contraseña del usuario registrado</t>
  </si>
  <si>
    <t>Registro de Pruebas Unitarias</t>
  </si>
  <si>
    <t>Proyecto:</t>
  </si>
  <si>
    <t>Pasteleria Mil Sabores</t>
  </si>
  <si>
    <t>Curso / Asignatura:</t>
  </si>
  <si>
    <t>Desarrollo Fullstack II  Seccion 011D</t>
  </si>
  <si>
    <t>Equipo / Integrantes:</t>
  </si>
  <si>
    <t>Paulo Riveros - Marcelo Dervis - Joaquin Fuenzalida</t>
  </si>
  <si>
    <t>Lenguaje y framework de pruebas:</t>
  </si>
  <si>
    <t>HTML - JAVASCRIPT, REACT</t>
  </si>
  <si>
    <t>Cómo usar esta planilla</t>
  </si>
  <si>
    <t>1. Completen los datos del proyecto arriba (celdas amarillas).</t>
  </si>
  <si>
    <t>2. En la hoja 'Casos de Prueba', agreguen una fila por cada caso de prueba (un test = una fila).</t>
  </si>
  <si>
    <t>3. Las celdas amarillas son para completar; las filas 1–3 de ejemplo se pueden borrar o reemplazar.</t>
  </si>
  <si>
    <t>4. Usen IDs correlativos: PU-001, PU-002, ... para poder referenciarlos en el informe.</t>
  </si>
  <si>
    <t>5. 'Resultado esperado' se escribe ANTES de ejecutar; 'Resultado obtenido' DESPUÉS.</t>
  </si>
  <si>
    <t>6. Elijan el Estado desde la lista: Pasó, Falló, Pendiente u Omitido.</t>
  </si>
  <si>
    <t>7. Si un test falla, describan el error en 'Observaciones' y, al corregirlo, actualicen el estado.</t>
  </si>
  <si>
    <t>8. La hoja 'Resumen' se calcula sola: no hay que escribir nada ahí.</t>
  </si>
  <si>
    <t>Tipos de caso sugeridos:</t>
  </si>
  <si>
    <t>• Caso normal: entrada válida típica.</t>
  </si>
  <si>
    <t>• Caso borde: límites (0, vacío, máximo, mínimo, un solo elemento).</t>
  </si>
  <si>
    <t>• Caso de error: entrada inválida que debería lanzar excepción o devolver error.</t>
  </si>
  <si>
    <t>Resumen de Pruebas</t>
  </si>
  <si>
    <t>Total de casos</t>
  </si>
  <si>
    <t>Falló</t>
  </si>
  <si>
    <t>Pendiente</t>
  </si>
  <si>
    <t>Omitido</t>
  </si>
  <si>
    <t>Sin estado</t>
  </si>
  <si>
    <t>% de éxito (Pasó / ejecutados)</t>
  </si>
  <si>
    <t>% de avance (ejecutados / total)</t>
  </si>
  <si>
    <t>Por tipo de caso</t>
  </si>
  <si>
    <t>Tipo</t>
  </si>
  <si>
    <t>Total</t>
  </si>
  <si>
    <t>Esta hoja se calcula automáticamente desde 'Casos de Prueba'.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</si>
</sst>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%"/>
  </numFmts>
  <fonts count="9" x14ac:knownFonts="1">
    <font>
      <sz val="11"/>
      <color theme="1"/>
      <name val="Calibri"/>
      <scheme val="minor"/>
    </font>
    <font>
      <b/>
      <sz val="16"/>
      <color rgb="FF1F4E78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i/>
      <sz val="11"/>
      <color rgb="FF808080"/>
      <name val="Arial"/>
      <family val="2"/>
    </font>
    <font>
      <b/>
      <sz val="12"/>
      <color rgb="FF1F4E78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9E5"/>
        <bgColor rgb="FFFFF9E5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0" fontId="2" fillId="0" borderId="1" xfId="0" applyFont="1" applyBorder="1"/>
    <xf numFmtId="164" fontId="6" fillId="2" borderId="1" xfId="0" applyNumberFormat="1" applyFont="1" applyFill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165" fontId="6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0" borderId="1" xfId="0" applyFont="1" applyBorder="1"/>
    <xf numFmtId="0" fontId="4" fillId="0" borderId="0" xfId="0" applyFont="1"/>
    <xf numFmtId="0" fontId="8" fillId="2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/>
        <name val="Arial"/>
      </font>
      <fill>
        <patternFill patternType="solid">
          <fgColor rgb="FFD9D9D9"/>
          <bgColor rgb="FFD9D9D9"/>
        </patternFill>
      </fill>
    </dxf>
    <dxf>
      <font>
        <b/>
        <name val="Arial"/>
      </font>
      <fill>
        <patternFill patternType="solid">
          <fgColor rgb="FFFFEB9C"/>
          <bgColor rgb="FFFFEB9C"/>
        </patternFill>
      </fill>
    </dxf>
    <dxf>
      <font>
        <b/>
        <name val="Arial"/>
      </font>
      <fill>
        <patternFill patternType="solid">
          <fgColor rgb="FFFFC7CE"/>
          <bgColor rgb="FFFFC7CE"/>
        </patternFill>
      </fill>
    </dxf>
    <dxf>
      <font>
        <b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4.5" defaultRowHeight="15" customHeight="1" x14ac:dyDescent="0.2"/>
  <cols>
    <col min="1" max="1" width="34" customWidth="1"/>
    <col min="2" max="2" width="60" customWidth="1"/>
    <col min="3" max="26" width="8.6640625" customWidth="1"/>
  </cols>
  <sheetData>
    <row r="1" spans="1:2" ht="20" customHeight="1" x14ac:dyDescent="0.2">
      <c r="A1" s="1" t="s">
        <v>85</v>
      </c>
    </row>
    <row r="3" spans="1:2" x14ac:dyDescent="0.2">
      <c r="A3" s="2" t="s">
        <v>86</v>
      </c>
      <c r="B3" s="3" t="s">
        <v>87</v>
      </c>
    </row>
    <row r="4" spans="1:2" x14ac:dyDescent="0.2">
      <c r="A4" s="2" t="s">
        <v>88</v>
      </c>
      <c r="B4" s="3" t="s">
        <v>89</v>
      </c>
    </row>
    <row r="5" spans="1:2" x14ac:dyDescent="0.2">
      <c r="A5" s="2" t="s">
        <v>90</v>
      </c>
      <c r="B5" s="3" t="s">
        <v>91</v>
      </c>
    </row>
    <row r="6" spans="1:2" x14ac:dyDescent="0.2">
      <c r="A6" s="2" t="s">
        <v>92</v>
      </c>
      <c r="B6" s="4" t="s">
        <v>93</v>
      </c>
    </row>
    <row r="8" spans="1:2" ht="16" customHeight="1" x14ac:dyDescent="0.2">
      <c r="A8" s="5" t="s">
        <v>94</v>
      </c>
    </row>
    <row r="9" spans="1:2" x14ac:dyDescent="0.2">
      <c r="A9" s="6" t="s">
        <v>95</v>
      </c>
    </row>
    <row r="10" spans="1:2" x14ac:dyDescent="0.2">
      <c r="A10" s="6" t="s">
        <v>96</v>
      </c>
    </row>
    <row r="11" spans="1:2" x14ac:dyDescent="0.2">
      <c r="A11" s="6" t="s">
        <v>97</v>
      </c>
    </row>
    <row r="12" spans="1:2" x14ac:dyDescent="0.2">
      <c r="A12" s="6" t="s">
        <v>98</v>
      </c>
    </row>
    <row r="13" spans="1:2" x14ac:dyDescent="0.2">
      <c r="A13" s="6" t="s">
        <v>99</v>
      </c>
    </row>
    <row r="14" spans="1:2" x14ac:dyDescent="0.2">
      <c r="A14" s="6" t="s">
        <v>100</v>
      </c>
    </row>
    <row r="15" spans="1:2" x14ac:dyDescent="0.2">
      <c r="A15" s="6" t="s">
        <v>101</v>
      </c>
    </row>
    <row r="16" spans="1:2" x14ac:dyDescent="0.2">
      <c r="A16" s="6" t="s">
        <v>102</v>
      </c>
    </row>
    <row r="17" spans="1:1" x14ac:dyDescent="0.2">
      <c r="A17" s="6"/>
    </row>
    <row r="18" spans="1:1" x14ac:dyDescent="0.2">
      <c r="A18" s="2" t="s">
        <v>103</v>
      </c>
    </row>
    <row r="19" spans="1:1" x14ac:dyDescent="0.2">
      <c r="A19" s="6" t="s">
        <v>104</v>
      </c>
    </row>
    <row r="20" spans="1:1" x14ac:dyDescent="0.2">
      <c r="A20" s="6" t="s">
        <v>105</v>
      </c>
    </row>
    <row r="21" spans="1:1" ht="15.75" customHeight="1" x14ac:dyDescent="0.2">
      <c r="A21" s="6" t="s">
        <v>106</v>
      </c>
    </row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1" sqref="D21"/>
    </sheetView>
  </sheetViews>
  <sheetFormatPr baseColWidth="10" defaultColWidth="14.5" defaultRowHeight="15" customHeight="1" x14ac:dyDescent="0.2"/>
  <cols>
    <col min="1" max="1" width="10" customWidth="1"/>
    <col min="2" max="2" width="18" customWidth="1"/>
    <col min="3" max="3" width="20" customWidth="1"/>
    <col min="4" max="4" width="14" customWidth="1"/>
    <col min="5" max="5" width="34" customWidth="1"/>
    <col min="6" max="8" width="24" customWidth="1"/>
    <col min="9" max="9" width="12" customWidth="1"/>
    <col min="10" max="10" width="16" customWidth="1"/>
    <col min="11" max="11" width="14" customWidth="1"/>
    <col min="12" max="12" width="32" customWidth="1"/>
    <col min="13" max="26" width="8.6640625" customWidth="1"/>
  </cols>
  <sheetData>
    <row r="1" spans="1:12" ht="30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ht="45" customHeight="1" x14ac:dyDescent="0.2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10">
        <v>46304</v>
      </c>
      <c r="L2" s="8"/>
    </row>
    <row r="3" spans="1:12" ht="45" customHeight="1" x14ac:dyDescent="0.2">
      <c r="A3" s="8" t="s">
        <v>22</v>
      </c>
      <c r="B3" s="8" t="s">
        <v>13</v>
      </c>
      <c r="C3" s="8" t="s">
        <v>23</v>
      </c>
      <c r="D3" s="8" t="s">
        <v>15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20</v>
      </c>
      <c r="J3" s="20" t="s">
        <v>21</v>
      </c>
      <c r="K3" s="10">
        <v>46304</v>
      </c>
      <c r="L3" s="8"/>
    </row>
    <row r="4" spans="1:12" ht="45" customHeight="1" x14ac:dyDescent="0.2">
      <c r="A4" s="8" t="s">
        <v>28</v>
      </c>
      <c r="B4" s="8" t="s">
        <v>13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20</v>
      </c>
      <c r="J4" s="20" t="s">
        <v>21</v>
      </c>
      <c r="K4" s="10">
        <v>46304</v>
      </c>
      <c r="L4" s="8" t="s">
        <v>35</v>
      </c>
    </row>
    <row r="5" spans="1:12" ht="60" customHeight="1" x14ac:dyDescent="0.2">
      <c r="A5" s="8" t="s">
        <v>36</v>
      </c>
      <c r="B5" s="8" t="s">
        <v>37</v>
      </c>
      <c r="C5" s="8" t="s">
        <v>38</v>
      </c>
      <c r="D5" s="8" t="s">
        <v>15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20</v>
      </c>
      <c r="J5" s="20" t="s">
        <v>43</v>
      </c>
      <c r="K5" s="10">
        <v>46304</v>
      </c>
      <c r="L5" s="8" t="s">
        <v>44</v>
      </c>
    </row>
    <row r="6" spans="1:12" ht="30" customHeight="1" x14ac:dyDescent="0.2">
      <c r="A6" s="8" t="s">
        <v>45</v>
      </c>
      <c r="B6" s="8" t="s">
        <v>37</v>
      </c>
      <c r="C6" s="8" t="s">
        <v>46</v>
      </c>
      <c r="D6" s="8" t="s">
        <v>15</v>
      </c>
      <c r="E6" s="8" t="s">
        <v>47</v>
      </c>
      <c r="F6" s="8" t="s">
        <v>48</v>
      </c>
      <c r="G6" s="8" t="s">
        <v>49</v>
      </c>
      <c r="H6" s="8" t="s">
        <v>50</v>
      </c>
      <c r="I6" s="8" t="s">
        <v>20</v>
      </c>
      <c r="J6" s="8" t="s">
        <v>43</v>
      </c>
      <c r="K6" s="10">
        <v>46304</v>
      </c>
      <c r="L6" s="8"/>
    </row>
    <row r="7" spans="1:12" ht="60" customHeight="1" x14ac:dyDescent="0.2">
      <c r="A7" s="8" t="s">
        <v>51</v>
      </c>
      <c r="B7" s="8" t="s">
        <v>52</v>
      </c>
      <c r="C7" s="8" t="s">
        <v>53</v>
      </c>
      <c r="D7" s="8" t="s">
        <v>54</v>
      </c>
      <c r="E7" s="8" t="s">
        <v>55</v>
      </c>
      <c r="F7" s="8" t="s">
        <v>56</v>
      </c>
      <c r="G7" s="8" t="s">
        <v>57</v>
      </c>
      <c r="H7" s="8" t="s">
        <v>58</v>
      </c>
      <c r="I7" s="8" t="s">
        <v>20</v>
      </c>
      <c r="J7" s="8" t="s">
        <v>21</v>
      </c>
      <c r="K7" s="10">
        <v>46304</v>
      </c>
      <c r="L7" s="8"/>
    </row>
    <row r="8" spans="1:12" ht="60" customHeight="1" x14ac:dyDescent="0.2">
      <c r="A8" s="8" t="s">
        <v>59</v>
      </c>
      <c r="B8" s="8" t="s">
        <v>60</v>
      </c>
      <c r="C8" s="8" t="s">
        <v>61</v>
      </c>
      <c r="D8" s="8" t="s">
        <v>30</v>
      </c>
      <c r="E8" s="8" t="s">
        <v>62</v>
      </c>
      <c r="F8" s="8" t="s">
        <v>63</v>
      </c>
      <c r="G8" s="8" t="s">
        <v>64</v>
      </c>
      <c r="H8" s="8" t="s">
        <v>65</v>
      </c>
      <c r="I8" s="8" t="s">
        <v>20</v>
      </c>
      <c r="J8" s="8" t="s">
        <v>21</v>
      </c>
      <c r="K8" s="10">
        <v>46304</v>
      </c>
      <c r="L8" s="8"/>
    </row>
    <row r="9" spans="1:12" ht="60" customHeight="1" x14ac:dyDescent="0.2">
      <c r="A9" s="8" t="s">
        <v>66</v>
      </c>
      <c r="B9" s="8" t="s">
        <v>67</v>
      </c>
      <c r="C9" s="8" t="s">
        <v>68</v>
      </c>
      <c r="D9" s="8" t="s">
        <v>15</v>
      </c>
      <c r="E9" s="8" t="s">
        <v>69</v>
      </c>
      <c r="F9" s="8" t="s">
        <v>70</v>
      </c>
      <c r="G9" s="8" t="s">
        <v>71</v>
      </c>
      <c r="H9" s="8" t="s">
        <v>72</v>
      </c>
      <c r="I9" s="8" t="s">
        <v>20</v>
      </c>
      <c r="J9" s="8" t="s">
        <v>21</v>
      </c>
      <c r="K9" s="10">
        <v>46304</v>
      </c>
      <c r="L9" s="8"/>
    </row>
    <row r="10" spans="1:12" ht="30" x14ac:dyDescent="0.2">
      <c r="A10" s="8" t="s">
        <v>73</v>
      </c>
      <c r="B10" s="8" t="s">
        <v>13</v>
      </c>
      <c r="C10" s="8" t="s">
        <v>74</v>
      </c>
      <c r="D10" s="8" t="s">
        <v>15</v>
      </c>
      <c r="E10" s="8" t="s">
        <v>75</v>
      </c>
      <c r="F10" s="8" t="s">
        <v>76</v>
      </c>
      <c r="G10" s="8" t="s">
        <v>77</v>
      </c>
      <c r="H10" s="8" t="s">
        <v>78</v>
      </c>
      <c r="I10" s="8" t="s">
        <v>20</v>
      </c>
      <c r="J10" s="8" t="s">
        <v>21</v>
      </c>
      <c r="K10" s="10">
        <v>46306</v>
      </c>
      <c r="L10" s="8"/>
    </row>
    <row r="11" spans="1:12" ht="45" x14ac:dyDescent="0.2">
      <c r="A11" s="8" t="s">
        <v>79</v>
      </c>
      <c r="B11" s="8" t="s">
        <v>52</v>
      </c>
      <c r="C11" s="8" t="s">
        <v>80</v>
      </c>
      <c r="D11" s="8" t="s">
        <v>15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20</v>
      </c>
      <c r="J11" s="8" t="s">
        <v>21</v>
      </c>
      <c r="K11" s="10">
        <v>46306</v>
      </c>
      <c r="L11" s="8"/>
    </row>
    <row r="12" spans="1:12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10"/>
      <c r="L12" s="8"/>
    </row>
    <row r="13" spans="1:12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10"/>
      <c r="L13" s="8"/>
    </row>
    <row r="14" spans="1:12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10"/>
      <c r="L14" s="8"/>
    </row>
    <row r="15" spans="1:1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10"/>
      <c r="L15" s="8"/>
    </row>
    <row r="16" spans="1:1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10"/>
      <c r="L16" s="8"/>
    </row>
    <row r="17" spans="1:1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10"/>
      <c r="L17" s="8"/>
    </row>
    <row r="18" spans="1:1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10"/>
      <c r="L18" s="8"/>
    </row>
    <row r="19" spans="1:1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10"/>
      <c r="L19" s="8"/>
    </row>
    <row r="20" spans="1:12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10"/>
      <c r="L20" s="8"/>
    </row>
    <row r="21" spans="1:12" ht="15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10"/>
      <c r="L21" s="8"/>
    </row>
    <row r="22" spans="1:12" ht="15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10"/>
      <c r="L22" s="8"/>
    </row>
    <row r="23" spans="1:12" ht="15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10"/>
      <c r="L23" s="8"/>
    </row>
    <row r="24" spans="1:12" ht="15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10"/>
      <c r="L24" s="8"/>
    </row>
    <row r="25" spans="1:12" ht="15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10"/>
      <c r="L25" s="8"/>
    </row>
    <row r="26" spans="1:12" ht="15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10"/>
      <c r="L26" s="8"/>
    </row>
    <row r="27" spans="1:12" ht="15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10"/>
      <c r="L27" s="8"/>
    </row>
    <row r="28" spans="1:12" ht="15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10"/>
      <c r="L28" s="8"/>
    </row>
    <row r="29" spans="1:12" ht="15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10"/>
      <c r="L29" s="8"/>
    </row>
    <row r="30" spans="1:12" ht="15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10"/>
      <c r="L30" s="8"/>
    </row>
    <row r="31" spans="1:12" ht="15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10"/>
      <c r="L31" s="8"/>
    </row>
    <row r="32" spans="1:12" ht="15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10"/>
      <c r="L32" s="8"/>
    </row>
    <row r="33" spans="1:12" ht="15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10"/>
      <c r="L33" s="8"/>
    </row>
    <row r="34" spans="1:12" ht="15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10"/>
      <c r="L34" s="8"/>
    </row>
    <row r="35" spans="1:12" ht="15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10"/>
      <c r="L35" s="8"/>
    </row>
    <row r="36" spans="1:12" ht="15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10"/>
      <c r="L36" s="8"/>
    </row>
    <row r="37" spans="1:12" ht="15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10"/>
      <c r="L37" s="8"/>
    </row>
    <row r="38" spans="1:12" ht="15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10"/>
      <c r="L38" s="8"/>
    </row>
    <row r="39" spans="1:12" ht="15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10"/>
      <c r="L39" s="8"/>
    </row>
    <row r="40" spans="1:12" ht="15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10"/>
      <c r="L40" s="8"/>
    </row>
    <row r="41" spans="1:12" ht="15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10"/>
      <c r="L41" s="8"/>
    </row>
    <row r="42" spans="1:12" ht="15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10"/>
      <c r="L42" s="8"/>
    </row>
    <row r="43" spans="1:12" ht="15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10"/>
      <c r="L43" s="8"/>
    </row>
    <row r="44" spans="1:12" ht="15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10"/>
      <c r="L44" s="8"/>
    </row>
    <row r="45" spans="1:12" ht="15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10"/>
      <c r="L45" s="8"/>
    </row>
    <row r="46" spans="1:12" ht="15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10"/>
      <c r="L46" s="8"/>
    </row>
    <row r="47" spans="1:12" ht="15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10"/>
      <c r="L47" s="8"/>
    </row>
    <row r="48" spans="1:12" ht="15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10"/>
      <c r="L48" s="8"/>
    </row>
    <row r="49" spans="1:12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10"/>
      <c r="L49" s="8"/>
    </row>
    <row r="50" spans="1:12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10"/>
      <c r="L50" s="8"/>
    </row>
    <row r="51" spans="1:12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10"/>
      <c r="L51" s="8"/>
    </row>
    <row r="52" spans="1:12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10"/>
      <c r="L52" s="8"/>
    </row>
    <row r="53" spans="1:12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10"/>
      <c r="L53" s="8"/>
    </row>
    <row r="54" spans="1:12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10"/>
      <c r="L54" s="8"/>
    </row>
    <row r="55" spans="1:12" ht="15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10"/>
      <c r="L55" s="8"/>
    </row>
    <row r="56" spans="1:12" ht="15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10"/>
      <c r="L56" s="8"/>
    </row>
    <row r="57" spans="1:12" ht="15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10"/>
      <c r="L57" s="8"/>
    </row>
    <row r="58" spans="1:12" ht="15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10"/>
      <c r="L58" s="8"/>
    </row>
    <row r="59" spans="1:12" ht="15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10"/>
      <c r="L59" s="8"/>
    </row>
    <row r="60" spans="1:12" ht="15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10"/>
      <c r="L60" s="8"/>
    </row>
    <row r="61" spans="1:12" ht="15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10"/>
      <c r="L61" s="8"/>
    </row>
    <row r="62" spans="1:12" ht="15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10"/>
      <c r="L62" s="8"/>
    </row>
    <row r="63" spans="1:12" ht="15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10"/>
      <c r="L63" s="8"/>
    </row>
    <row r="64" spans="1:12" ht="15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10"/>
      <c r="L64" s="8"/>
    </row>
    <row r="65" spans="1:12" ht="15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10"/>
      <c r="L65" s="8"/>
    </row>
    <row r="66" spans="1:12" ht="15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10"/>
      <c r="L66" s="8"/>
    </row>
    <row r="67" spans="1:12" ht="15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10"/>
      <c r="L67" s="8"/>
    </row>
    <row r="68" spans="1:12" ht="15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10"/>
      <c r="L68" s="8"/>
    </row>
    <row r="69" spans="1:12" ht="15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10"/>
      <c r="L69" s="8"/>
    </row>
    <row r="70" spans="1:12" ht="15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10"/>
      <c r="L70" s="8"/>
    </row>
    <row r="71" spans="1:12" ht="15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10"/>
      <c r="L71" s="8"/>
    </row>
    <row r="72" spans="1:12" ht="15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10"/>
      <c r="L72" s="8"/>
    </row>
    <row r="73" spans="1:12" ht="15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10"/>
      <c r="L73" s="8"/>
    </row>
    <row r="74" spans="1:12" ht="15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10"/>
      <c r="L74" s="8"/>
    </row>
    <row r="75" spans="1:12" ht="15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10"/>
      <c r="L75" s="8"/>
    </row>
    <row r="76" spans="1:12" ht="15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10"/>
      <c r="L76" s="8"/>
    </row>
    <row r="77" spans="1:12" ht="15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10"/>
      <c r="L77" s="8"/>
    </row>
    <row r="78" spans="1:12" ht="15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10"/>
      <c r="L78" s="8"/>
    </row>
    <row r="79" spans="1:12" ht="15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10"/>
      <c r="L79" s="8"/>
    </row>
    <row r="80" spans="1:12" ht="15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10"/>
      <c r="L80" s="8"/>
    </row>
    <row r="81" spans="1:12" ht="15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10"/>
      <c r="L81" s="8"/>
    </row>
    <row r="82" spans="1:12" ht="15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10"/>
      <c r="L82" s="8"/>
    </row>
    <row r="83" spans="1:12" ht="15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10"/>
      <c r="L83" s="8"/>
    </row>
    <row r="84" spans="1:12" ht="15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10"/>
      <c r="L84" s="8"/>
    </row>
    <row r="85" spans="1:12" ht="15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10"/>
      <c r="L85" s="8"/>
    </row>
    <row r="86" spans="1:12" ht="15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10"/>
      <c r="L86" s="8"/>
    </row>
    <row r="87" spans="1:12" ht="15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10"/>
      <c r="L87" s="8"/>
    </row>
    <row r="88" spans="1:12" ht="15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10"/>
      <c r="L88" s="8"/>
    </row>
    <row r="89" spans="1:12" ht="15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10"/>
      <c r="L89" s="8"/>
    </row>
    <row r="90" spans="1:12" ht="15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10"/>
      <c r="L90" s="8"/>
    </row>
    <row r="91" spans="1:12" ht="15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10"/>
      <c r="L91" s="8"/>
    </row>
    <row r="92" spans="1:12" ht="15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10"/>
      <c r="L92" s="8"/>
    </row>
    <row r="93" spans="1:12" ht="15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10"/>
      <c r="L93" s="8"/>
    </row>
    <row r="94" spans="1:12" ht="15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10"/>
      <c r="L94" s="8"/>
    </row>
    <row r="95" spans="1:12" ht="15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10"/>
      <c r="L95" s="8"/>
    </row>
    <row r="96" spans="1:12" ht="15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10"/>
      <c r="L96" s="8"/>
    </row>
    <row r="97" spans="1:12" ht="15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10"/>
      <c r="L97" s="8"/>
    </row>
    <row r="98" spans="1:12" ht="15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10"/>
      <c r="L98" s="8"/>
    </row>
    <row r="99" spans="1:12" ht="15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10"/>
      <c r="L99" s="8"/>
    </row>
    <row r="100" spans="1:12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10"/>
      <c r="L100" s="8"/>
    </row>
    <row r="101" spans="1:12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10"/>
      <c r="L101" s="8"/>
    </row>
    <row r="102" spans="1:12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10"/>
      <c r="L102" s="8"/>
    </row>
    <row r="103" spans="1:12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10"/>
      <c r="L103" s="8"/>
    </row>
    <row r="104" spans="1:12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10"/>
      <c r="L104" s="8"/>
    </row>
    <row r="105" spans="1:12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10"/>
      <c r="L105" s="8"/>
    </row>
    <row r="106" spans="1:12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10"/>
      <c r="L106" s="8"/>
    </row>
    <row r="107" spans="1:12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10"/>
      <c r="L107" s="8"/>
    </row>
    <row r="108" spans="1:12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10"/>
      <c r="L108" s="8"/>
    </row>
    <row r="109" spans="1:12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10"/>
      <c r="L109" s="8"/>
    </row>
    <row r="110" spans="1:12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10"/>
      <c r="L110" s="8"/>
    </row>
    <row r="111" spans="1:12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10"/>
      <c r="L111" s="8"/>
    </row>
    <row r="112" spans="1:12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10"/>
      <c r="L112" s="8"/>
    </row>
    <row r="113" spans="1:12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10"/>
      <c r="L113" s="8"/>
    </row>
    <row r="114" spans="1:12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10"/>
      <c r="L114" s="8"/>
    </row>
    <row r="115" spans="1:12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10"/>
      <c r="L115" s="8"/>
    </row>
    <row r="116" spans="1:12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10"/>
      <c r="L116" s="8"/>
    </row>
    <row r="117" spans="1:12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10"/>
      <c r="L117" s="8"/>
    </row>
    <row r="118" spans="1:12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10"/>
      <c r="L118" s="8"/>
    </row>
    <row r="119" spans="1:12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10"/>
      <c r="L119" s="8"/>
    </row>
    <row r="120" spans="1:12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10"/>
      <c r="L120" s="8"/>
    </row>
    <row r="121" spans="1:12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10"/>
      <c r="L121" s="8"/>
    </row>
    <row r="122" spans="1:12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10"/>
      <c r="L122" s="8"/>
    </row>
    <row r="123" spans="1:12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10"/>
      <c r="L123" s="8"/>
    </row>
    <row r="124" spans="1:12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10"/>
      <c r="L124" s="8"/>
    </row>
    <row r="125" spans="1:12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10"/>
      <c r="L125" s="8"/>
    </row>
    <row r="126" spans="1:12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10"/>
      <c r="L126" s="8"/>
    </row>
    <row r="127" spans="1:12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10"/>
      <c r="L127" s="8"/>
    </row>
    <row r="128" spans="1:12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10"/>
      <c r="L128" s="8"/>
    </row>
    <row r="129" spans="1:12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10"/>
      <c r="L129" s="8"/>
    </row>
    <row r="130" spans="1:12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10"/>
      <c r="L130" s="8"/>
    </row>
    <row r="131" spans="1:12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10"/>
      <c r="L131" s="8"/>
    </row>
    <row r="132" spans="1:12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10"/>
      <c r="L132" s="8"/>
    </row>
    <row r="133" spans="1:12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10"/>
      <c r="L133" s="8"/>
    </row>
    <row r="134" spans="1:12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10"/>
      <c r="L134" s="8"/>
    </row>
    <row r="135" spans="1:12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10"/>
      <c r="L135" s="8"/>
    </row>
    <row r="136" spans="1:12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10"/>
      <c r="L136" s="8"/>
    </row>
    <row r="137" spans="1:12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10"/>
      <c r="L137" s="8"/>
    </row>
    <row r="138" spans="1:12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10"/>
      <c r="L138" s="8"/>
    </row>
    <row r="139" spans="1:12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10"/>
      <c r="L139" s="8"/>
    </row>
    <row r="140" spans="1:12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10"/>
      <c r="L140" s="8"/>
    </row>
    <row r="141" spans="1:12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10"/>
      <c r="L141" s="8"/>
    </row>
    <row r="142" spans="1:12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10"/>
      <c r="L142" s="8"/>
    </row>
    <row r="143" spans="1:12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10"/>
      <c r="L143" s="8"/>
    </row>
    <row r="144" spans="1:12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10"/>
      <c r="L144" s="8"/>
    </row>
    <row r="145" spans="1:12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10"/>
      <c r="L145" s="8"/>
    </row>
    <row r="146" spans="1:12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10"/>
      <c r="L146" s="8"/>
    </row>
    <row r="147" spans="1:12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10"/>
      <c r="L147" s="8"/>
    </row>
    <row r="148" spans="1:12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10"/>
      <c r="L148" s="8"/>
    </row>
    <row r="149" spans="1:12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10"/>
      <c r="L149" s="8"/>
    </row>
    <row r="150" spans="1:12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10"/>
      <c r="L150" s="8"/>
    </row>
    <row r="151" spans="1:12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10"/>
      <c r="L151" s="8"/>
    </row>
    <row r="152" spans="1:12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10"/>
      <c r="L152" s="8"/>
    </row>
    <row r="153" spans="1:12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10"/>
      <c r="L153" s="8"/>
    </row>
    <row r="154" spans="1:12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10"/>
      <c r="L154" s="8"/>
    </row>
    <row r="155" spans="1:12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10"/>
      <c r="L155" s="8"/>
    </row>
    <row r="156" spans="1:12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10"/>
      <c r="L156" s="8"/>
    </row>
    <row r="157" spans="1:12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10"/>
      <c r="L157" s="8"/>
    </row>
    <row r="158" spans="1:12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10"/>
      <c r="L158" s="8"/>
    </row>
    <row r="159" spans="1:12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10"/>
      <c r="L159" s="8"/>
    </row>
    <row r="160" spans="1:12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10"/>
      <c r="L160" s="8"/>
    </row>
    <row r="161" spans="1:12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10"/>
      <c r="L161" s="8"/>
    </row>
    <row r="162" spans="1:12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10"/>
      <c r="L162" s="8"/>
    </row>
    <row r="163" spans="1:12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10"/>
      <c r="L163" s="8"/>
    </row>
    <row r="164" spans="1:12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10"/>
      <c r="L164" s="8"/>
    </row>
    <row r="165" spans="1:12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10"/>
      <c r="L165" s="8"/>
    </row>
    <row r="166" spans="1:12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10"/>
      <c r="L166" s="8"/>
    </row>
    <row r="167" spans="1:12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10"/>
      <c r="L167" s="8"/>
    </row>
    <row r="168" spans="1:12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10"/>
      <c r="L168" s="8"/>
    </row>
    <row r="169" spans="1:12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10"/>
      <c r="L169" s="8"/>
    </row>
    <row r="170" spans="1:12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10"/>
      <c r="L170" s="8"/>
    </row>
    <row r="171" spans="1:12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10"/>
      <c r="L171" s="8"/>
    </row>
    <row r="172" spans="1:12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10"/>
      <c r="L172" s="8"/>
    </row>
    <row r="173" spans="1:12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10"/>
      <c r="L173" s="8"/>
    </row>
    <row r="174" spans="1:12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10"/>
      <c r="L174" s="8"/>
    </row>
    <row r="175" spans="1:12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10"/>
      <c r="L175" s="8"/>
    </row>
    <row r="176" spans="1:12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10"/>
      <c r="L176" s="8"/>
    </row>
    <row r="177" spans="1:12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10"/>
      <c r="L177" s="8"/>
    </row>
    <row r="178" spans="1:12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10"/>
      <c r="L178" s="8"/>
    </row>
    <row r="179" spans="1:12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10"/>
      <c r="L179" s="8"/>
    </row>
    <row r="180" spans="1:12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10"/>
      <c r="L180" s="8"/>
    </row>
    <row r="181" spans="1:12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10"/>
      <c r="L181" s="8"/>
    </row>
    <row r="182" spans="1:12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10"/>
      <c r="L182" s="8"/>
    </row>
    <row r="183" spans="1:12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10"/>
      <c r="L183" s="8"/>
    </row>
    <row r="184" spans="1:12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10"/>
      <c r="L184" s="8"/>
    </row>
    <row r="185" spans="1:12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10"/>
      <c r="L185" s="8"/>
    </row>
    <row r="186" spans="1:12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10"/>
      <c r="L186" s="8"/>
    </row>
    <row r="187" spans="1:12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10"/>
      <c r="L187" s="8"/>
    </row>
    <row r="188" spans="1:12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10"/>
      <c r="L188" s="8"/>
    </row>
    <row r="189" spans="1:12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10"/>
      <c r="L189" s="8"/>
    </row>
    <row r="190" spans="1:12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10"/>
      <c r="L190" s="8"/>
    </row>
    <row r="191" spans="1:12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10"/>
      <c r="L191" s="8"/>
    </row>
    <row r="192" spans="1:12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10"/>
      <c r="L192" s="8"/>
    </row>
    <row r="193" spans="1:12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10"/>
      <c r="L193" s="8"/>
    </row>
    <row r="194" spans="1:12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10"/>
      <c r="L194" s="8"/>
    </row>
    <row r="195" spans="1:12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10"/>
      <c r="L195" s="8"/>
    </row>
    <row r="196" spans="1:12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10"/>
      <c r="L196" s="8"/>
    </row>
    <row r="197" spans="1:12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10"/>
      <c r="L197" s="8"/>
    </row>
    <row r="198" spans="1:12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10"/>
      <c r="L198" s="8"/>
    </row>
    <row r="199" spans="1:12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10"/>
      <c r="L199" s="8"/>
    </row>
    <row r="200" spans="1:12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10"/>
      <c r="L200" s="8"/>
    </row>
    <row r="201" spans="1:12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10"/>
      <c r="L201" s="8"/>
    </row>
    <row r="202" spans="1:12" ht="15.75" customHeight="1" x14ac:dyDescent="0.2"/>
    <row r="203" spans="1:12" ht="15.75" customHeight="1" x14ac:dyDescent="0.2"/>
    <row r="204" spans="1:12" ht="15.75" customHeight="1" x14ac:dyDescent="0.2"/>
    <row r="205" spans="1:12" ht="15.75" customHeight="1" x14ac:dyDescent="0.2"/>
    <row r="206" spans="1:12" ht="15.75" customHeight="1" x14ac:dyDescent="0.2"/>
    <row r="207" spans="1:12" ht="15.75" customHeight="1" x14ac:dyDescent="0.2"/>
    <row r="208" spans="1:1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L201" xr:uid="{00000000-0009-0000-0000-000001000000}"/>
  <conditionalFormatting sqref="I2:I201">
    <cfRule type="cellIs" dxfId="3" priority="1" operator="equal">
      <formula>"Pasó"</formula>
    </cfRule>
    <cfRule type="cellIs" dxfId="2" priority="2" operator="equal">
      <formula>"Falló"</formula>
    </cfRule>
    <cfRule type="cellIs" dxfId="1" priority="3" operator="equal">
      <formula>"Pendiente"</formula>
    </cfRule>
    <cfRule type="cellIs" dxfId="0" priority="4" operator="equal">
      <formula>"Omitido"</formula>
    </cfRule>
  </conditionalFormatting>
  <dataValidations count="2">
    <dataValidation type="list" allowBlank="1" sqref="D2:D201" xr:uid="{00000000-0002-0000-0100-000000000000}">
      <formula1>"Normal,Borde,Error"</formula1>
    </dataValidation>
    <dataValidation type="list" allowBlank="1" sqref="I2:I201" xr:uid="{00000000-0002-0000-0100-000001000000}">
      <formula1>"Pasó,Falló,Pendiente,Omitido"</formula1>
    </dataValidation>
  </dataValidations>
  <pageMargins left="0.75" right="0.75" top="1" bottom="1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baseColWidth="10" defaultColWidth="14.5" defaultRowHeight="15" customHeight="1" x14ac:dyDescent="0.2"/>
  <cols>
    <col min="1" max="1" width="34" customWidth="1"/>
    <col min="2" max="4" width="12" customWidth="1"/>
    <col min="5" max="26" width="8.6640625" customWidth="1"/>
  </cols>
  <sheetData>
    <row r="1" spans="1:4" ht="20" customHeight="1" x14ac:dyDescent="0.2">
      <c r="A1" s="1" t="s">
        <v>107</v>
      </c>
    </row>
    <row r="3" spans="1:4" x14ac:dyDescent="0.2">
      <c r="A3" s="9" t="s">
        <v>108</v>
      </c>
      <c r="B3" s="11">
        <f>COUNTA('Casos de Prueba'!A2:A201)</f>
        <v>10</v>
      </c>
    </row>
    <row r="4" spans="1:4" x14ac:dyDescent="0.2">
      <c r="A4" s="12" t="s">
        <v>20</v>
      </c>
      <c r="B4" s="11">
        <f>COUNTIF('Casos de Prueba'!I2:I201,"Pasó")</f>
        <v>10</v>
      </c>
    </row>
    <row r="5" spans="1:4" x14ac:dyDescent="0.2">
      <c r="A5" s="13" t="s">
        <v>109</v>
      </c>
      <c r="B5" s="11">
        <f>COUNTIF('Casos de Prueba'!I2:I201,"Falló")</f>
        <v>0</v>
      </c>
    </row>
    <row r="6" spans="1:4" x14ac:dyDescent="0.2">
      <c r="A6" s="14" t="s">
        <v>110</v>
      </c>
      <c r="B6" s="11">
        <f>COUNTIF('Casos de Prueba'!I2:I201,"Pendiente")</f>
        <v>0</v>
      </c>
    </row>
    <row r="7" spans="1:4" x14ac:dyDescent="0.2">
      <c r="A7" s="15" t="s">
        <v>111</v>
      </c>
      <c r="B7" s="11">
        <f>COUNTIF('Casos de Prueba'!I2:I201,"Omitido")</f>
        <v>0</v>
      </c>
    </row>
    <row r="8" spans="1:4" x14ac:dyDescent="0.2">
      <c r="A8" s="9" t="s">
        <v>112</v>
      </c>
      <c r="B8" s="11">
        <f>B3-SUM(B4:B7)</f>
        <v>0</v>
      </c>
    </row>
    <row r="9" spans="1:4" x14ac:dyDescent="0.2">
      <c r="A9" s="9" t="s">
        <v>113</v>
      </c>
      <c r="B9" s="16">
        <f>IFERROR(B4/(B4+B5),0)</f>
        <v>1</v>
      </c>
    </row>
    <row r="10" spans="1:4" x14ac:dyDescent="0.2">
      <c r="A10" s="9" t="s">
        <v>114</v>
      </c>
      <c r="B10" s="16">
        <f>IFERROR((B4+B5+B7)/B3,0)</f>
        <v>1</v>
      </c>
    </row>
    <row r="13" spans="1:4" ht="16" customHeight="1" x14ac:dyDescent="0.2">
      <c r="A13" s="5" t="s">
        <v>115</v>
      </c>
    </row>
    <row r="14" spans="1:4" x14ac:dyDescent="0.2">
      <c r="A14" s="17" t="s">
        <v>116</v>
      </c>
      <c r="B14" s="17" t="s">
        <v>117</v>
      </c>
      <c r="C14" s="17" t="s">
        <v>20</v>
      </c>
      <c r="D14" s="17" t="s">
        <v>109</v>
      </c>
    </row>
    <row r="15" spans="1:4" x14ac:dyDescent="0.2">
      <c r="A15" s="18" t="s">
        <v>15</v>
      </c>
      <c r="B15" s="11">
        <f>COUNTIF('Casos de Prueba'!D2:D201,A15)</f>
        <v>7</v>
      </c>
      <c r="C15" s="11">
        <f>COUNTIFS('Casos de Prueba'!D2:D201,A15,'Casos de Prueba'!I2:I201,"Pasó")</f>
        <v>7</v>
      </c>
      <c r="D15" s="11">
        <f>COUNTIFS('Casos de Prueba'!D2:D201,A15,'Casos de Prueba'!I2:I201,"Falló")</f>
        <v>0</v>
      </c>
    </row>
    <row r="16" spans="1:4" x14ac:dyDescent="0.2">
      <c r="A16" s="18" t="s">
        <v>30</v>
      </c>
      <c r="B16" s="11">
        <f>COUNTIF('Casos de Prueba'!D2:D201,A16)</f>
        <v>2</v>
      </c>
      <c r="C16" s="11">
        <f>COUNTIFS('Casos de Prueba'!D2:D201,A16,'Casos de Prueba'!I2:I201,"Pasó")</f>
        <v>2</v>
      </c>
      <c r="D16" s="11">
        <f>COUNTIFS('Casos de Prueba'!D2:D201,A16,'Casos de Prueba'!I2:I201,"Falló")</f>
        <v>0</v>
      </c>
    </row>
    <row r="17" spans="1:4" x14ac:dyDescent="0.2">
      <c r="A17" s="18" t="s">
        <v>54</v>
      </c>
      <c r="B17" s="11">
        <f>COUNTIF('Casos de Prueba'!D2:D201,A17)</f>
        <v>1</v>
      </c>
      <c r="C17" s="11">
        <f>COUNTIFS('Casos de Prueba'!D2:D201,A17,'Casos de Prueba'!I2:I201,"Pasó")</f>
        <v>1</v>
      </c>
      <c r="D17" s="11">
        <f>COUNTIFS('Casos de Prueba'!D2:D201,A17,'Casos de Prueba'!I2:I201,"Falló")</f>
        <v>0</v>
      </c>
    </row>
    <row r="20" spans="1:4" x14ac:dyDescent="0.2">
      <c r="A20" s="19" t="s">
        <v>118</v>
      </c>
    </row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Casos de Prueba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IGNACIO FUENZALIDA BRAVO</cp:lastModifiedBy>
  <dcterms:created xsi:type="dcterms:W3CDTF">2026-10-08T21:29:09Z</dcterms:created>
  <dcterms:modified xsi:type="dcterms:W3CDTF">2026-10-11T03:23:13Z</dcterms:modified>
</cp:coreProperties>
</file>